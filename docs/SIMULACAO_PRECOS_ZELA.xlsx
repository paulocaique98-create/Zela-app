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Simulação" sheetId="2" state="visible" r:id="rId2"/>
    <sheet xmlns:r="http://schemas.openxmlformats.org/officeDocument/2006/relationships" name="Sob medi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;(R$ #,##0.00);-"/>
    <numFmt numFmtId="165" formatCode="0.0%"/>
    <numFmt numFmtId="166" formatCode="R$ #,##0;(R$ #,##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0" fontId="0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5" fillId="0" borderId="1" pivotButton="0" quotePrefix="0" xfId="0"/>
    <xf numFmtId="0" fontId="4" fillId="0" borderId="0" pivotButton="0" quotePrefix="0" xfId="0"/>
    <xf numFmtId="166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0" borderId="1" pivotButton="0" quotePrefix="0" xfId="0"/>
    <xf numFmtId="166" fontId="4" fillId="0" borderId="1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164" fontId="7" fillId="0" borderId="1" pivotButton="0" quotePrefix="0" xfId="0"/>
    <xf numFmtId="164" fontId="4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C15" authorId="0" shapeId="0">
      <text>
        <t>Hipótese minha, sem medição.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B7" authorId="0" shapeId="0">
      <text>
        <t>Plano base é sempre incluso.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Zela Escola: premissas de preço</t>
        </is>
      </c>
    </row>
    <row r="2">
      <c r="A2" s="2" t="inlineStr">
        <is>
          <t>Células em azul são entradas (edite aqui). Valores são estimativas de mercado, não pesquisa de concorrentes.</t>
        </is>
      </c>
    </row>
    <row r="3" ht="32" customHeight="1">
      <c r="A3" s="3" t="inlineStr">
        <is>
          <t>Item</t>
        </is>
      </c>
      <c r="B3" s="3" t="inlineStr">
        <is>
          <t>R$ por aluno/mês (avulso)</t>
        </is>
      </c>
      <c r="C3" s="3" t="inlineStr">
        <is>
          <t>Essencial</t>
        </is>
      </c>
      <c r="D3" s="3" t="inlineStr">
        <is>
          <t>Completo</t>
        </is>
      </c>
      <c r="E3" s="3" t="inlineStr">
        <is>
          <t>Premium</t>
        </is>
      </c>
    </row>
    <row r="4">
      <c r="A4" s="4" t="inlineStr">
        <is>
          <t>Plano base</t>
        </is>
      </c>
      <c r="B4" s="5" t="n">
        <v>6.9</v>
      </c>
      <c r="C4" s="6" t="n">
        <v>1</v>
      </c>
      <c r="D4" s="6" t="n">
        <v>1</v>
      </c>
      <c r="E4" s="6" t="n">
        <v>1</v>
      </c>
    </row>
    <row r="5">
      <c r="A5" s="4" t="inlineStr">
        <is>
          <t>Pedagógico</t>
        </is>
      </c>
      <c r="B5" s="5" t="n">
        <v>3.5</v>
      </c>
      <c r="C5" s="6" t="n">
        <v>0</v>
      </c>
      <c r="D5" s="6" t="n">
        <v>1</v>
      </c>
      <c r="E5" s="6" t="n">
        <v>1</v>
      </c>
    </row>
    <row r="6">
      <c r="A6" s="4" t="inlineStr">
        <is>
          <t>Rotina e família</t>
        </is>
      </c>
      <c r="B6" s="5" t="n">
        <v>2.5</v>
      </c>
      <c r="C6" s="6" t="n">
        <v>0</v>
      </c>
      <c r="D6" s="6" t="n">
        <v>1</v>
      </c>
      <c r="E6" s="6" t="n">
        <v>1</v>
      </c>
    </row>
    <row r="7">
      <c r="A7" s="4" t="inlineStr">
        <is>
          <t>Chat</t>
        </is>
      </c>
      <c r="B7" s="5" t="n">
        <v>1.5</v>
      </c>
      <c r="C7" s="6" t="n">
        <v>0</v>
      </c>
      <c r="D7" s="6" t="n">
        <v>0</v>
      </c>
      <c r="E7" s="6" t="n">
        <v>1</v>
      </c>
    </row>
    <row r="8">
      <c r="A8" s="4" t="inlineStr">
        <is>
          <t>Prova de vida</t>
        </is>
      </c>
      <c r="B8" s="5" t="n">
        <v>1.5</v>
      </c>
      <c r="C8" s="6" t="n">
        <v>0</v>
      </c>
      <c r="D8" s="6" t="n">
        <v>0</v>
      </c>
      <c r="E8" s="6" t="n">
        <v>1</v>
      </c>
    </row>
    <row r="9">
      <c r="A9" s="4" t="inlineStr">
        <is>
          <t>Entrada por QR Code</t>
        </is>
      </c>
      <c r="B9" s="5" t="n">
        <v>1</v>
      </c>
      <c r="C9" s="6" t="n">
        <v>0</v>
      </c>
      <c r="D9" s="6" t="n">
        <v>0</v>
      </c>
      <c r="E9" s="6" t="n">
        <v>1</v>
      </c>
    </row>
    <row r="11">
      <c r="A11" s="7" t="inlineStr">
        <is>
          <t>Soma dos avulsos por aluno</t>
        </is>
      </c>
      <c r="B11" s="8" t="n"/>
      <c r="C11" s="9">
        <f>SUMPRODUCT($B$4:$B$9,C4:C9)</f>
        <v/>
      </c>
      <c r="D11" s="9">
        <f>SUMPRODUCT($B$4:$B$9,D4:D9)</f>
        <v/>
      </c>
      <c r="E11" s="9">
        <f>SUMPRODUCT($B$4:$B$9,E4:E9)</f>
        <v/>
      </c>
    </row>
    <row r="12">
      <c r="A12" s="7" t="inlineStr">
        <is>
          <t>Preço do pacote por aluno/mês (tabela)</t>
        </is>
      </c>
      <c r="B12" s="8" t="n"/>
      <c r="C12" s="5" t="n">
        <v>6.9</v>
      </c>
      <c r="D12" s="5" t="n">
        <v>11.9</v>
      </c>
      <c r="E12" s="5" t="n">
        <v>15.9</v>
      </c>
    </row>
    <row r="13">
      <c r="A13" s="7" t="inlineStr">
        <is>
          <t>Desconto implícito do pacote</t>
        </is>
      </c>
      <c r="B13" s="8" t="n"/>
      <c r="C13" s="10">
        <f>IF(C11=0,0,1-C12/C11)</f>
        <v/>
      </c>
      <c r="D13" s="10">
        <f>IF(D11=0,0,1-D12/D11)</f>
        <v/>
      </c>
      <c r="E13" s="10">
        <f>IF(E11=0,0,1-E12/E11)</f>
        <v/>
      </c>
    </row>
    <row r="14">
      <c r="A14" s="7" t="inlineStr">
        <is>
          <t>Mínimo mensal por escola</t>
        </is>
      </c>
      <c r="B14" s="8" t="n"/>
      <c r="C14" s="11" t="n">
        <v>450</v>
      </c>
      <c r="D14" s="11" t="n">
        <v>790</v>
      </c>
      <c r="E14" s="11" t="n">
        <v>990</v>
      </c>
    </row>
    <row r="15">
      <c r="A15" s="7" t="inlineStr">
        <is>
          <t>Custo estimado por aluno/mês (hipótese)</t>
        </is>
      </c>
      <c r="B15" s="8" t="n"/>
      <c r="C15" s="5" t="n">
        <v>1.5</v>
      </c>
      <c r="D15" s="5" t="n">
        <v>1.8</v>
      </c>
      <c r="E15" s="5" t="n">
        <v>2.2</v>
      </c>
    </row>
    <row r="17">
      <c r="A17" s="12" t="inlineStr">
        <is>
          <t>Implantação (valor único), mínimo</t>
        </is>
      </c>
      <c r="B17" s="13" t="n">
        <v>600</v>
      </c>
    </row>
    <row r="18">
      <c r="A18" s="12" t="inlineStr">
        <is>
          <t>Implantação (valor único), máximo</t>
        </is>
      </c>
      <c r="B18" s="13" t="n">
        <v>1200</v>
      </c>
    </row>
    <row r="19">
      <c r="A19" s="12" t="inlineStr">
        <is>
          <t>App com a marca da escola: setup</t>
        </is>
      </c>
      <c r="B19" s="14" t="inlineStr">
        <is>
          <t>R$ 2.500 a 4.000</t>
        </is>
      </c>
    </row>
    <row r="20">
      <c r="A20" s="12" t="inlineStr">
        <is>
          <t>App com a marca da escola: mensal</t>
        </is>
      </c>
      <c r="B20" s="14" t="inlineStr">
        <is>
          <t>R$ 300 a 600</t>
        </is>
      </c>
    </row>
    <row r="22">
      <c r="A22" s="15" t="inlineStr">
        <is>
          <t>Notas</t>
        </is>
      </c>
    </row>
    <row r="23">
      <c r="A23" s="12" t="inlineStr">
        <is>
          <t>Custo por aluno é hipótese: validar com consumo real de Supabase, Storage e egress da biometria.</t>
        </is>
      </c>
    </row>
    <row r="24">
      <c r="A24" s="12" t="inlineStr">
        <is>
          <t>Taxas do Asaas (boleto e Pix) são da escola. Hardware do totem é vendido à parte.</t>
        </is>
      </c>
    </row>
    <row r="25">
      <c r="A25" s="12" t="inlineStr">
        <is>
          <t>NFS-e fica no plano base. Os apps Capacitor começam em 01/10/2026, com lançamento previsto para janeiro de 2027.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Simulação por tamanho de escola</t>
        </is>
      </c>
    </row>
    <row r="2">
      <c r="A2" s="2" t="inlineStr">
        <is>
          <t>Mensalidade = maior valor entre alunos x preço e o mínimo mensal. Edite os tamanhos em azul.</t>
        </is>
      </c>
    </row>
    <row r="4" ht="32" customHeight="1">
      <c r="A4" s="3" t="inlineStr">
        <is>
          <t>Alunos ativos</t>
        </is>
      </c>
      <c r="B4" s="3" t="inlineStr">
        <is>
          <t>Essencial (mês)</t>
        </is>
      </c>
      <c r="C4" s="3" t="inlineStr">
        <is>
          <t>Completo (mês)</t>
        </is>
      </c>
      <c r="D4" s="3" t="inlineStr">
        <is>
          <t>Premium (mês)</t>
        </is>
      </c>
      <c r="E4" s="3" t="inlineStr">
        <is>
          <t>Essencial (ano)</t>
        </is>
      </c>
      <c r="F4" s="3" t="inlineStr">
        <is>
          <t>Completo (ano)</t>
        </is>
      </c>
      <c r="G4" s="3" t="inlineStr">
        <is>
          <t>Premium (ano)</t>
        </is>
      </c>
      <c r="H4" s="3" t="inlineStr">
        <is>
          <t>Margem Essencial</t>
        </is>
      </c>
      <c r="I4" s="3" t="inlineStr">
        <is>
          <t>Margem Completo</t>
        </is>
      </c>
      <c r="J4" s="3" t="inlineStr">
        <is>
          <t>Margem Premium</t>
        </is>
      </c>
    </row>
    <row r="5">
      <c r="A5" s="16" t="n">
        <v>30</v>
      </c>
      <c r="B5" s="17">
        <f>MAX($A5*Premissas!C$12,Premissas!C$14)</f>
        <v/>
      </c>
      <c r="C5" s="17">
        <f>MAX($A5*Premissas!D$12,Premissas!D$14)</f>
        <v/>
      </c>
      <c r="D5" s="17">
        <f>MAX($A5*Premissas!E$12,Premissas!E$14)</f>
        <v/>
      </c>
      <c r="E5" s="17">
        <f>B5*12</f>
        <v/>
      </c>
      <c r="F5" s="17">
        <f>C5*12</f>
        <v/>
      </c>
      <c r="G5" s="17">
        <f>D5*12</f>
        <v/>
      </c>
      <c r="H5" s="10">
        <f>(B5-$A5*Premissas!C$15)/B5</f>
        <v/>
      </c>
      <c r="I5" s="10">
        <f>(C5-$A5*Premissas!D$15)/C5</f>
        <v/>
      </c>
      <c r="J5" s="10">
        <f>(D5-$A5*Premissas!E$15)/D5</f>
        <v/>
      </c>
    </row>
    <row r="6">
      <c r="A6" s="16" t="n">
        <v>60</v>
      </c>
      <c r="B6" s="17">
        <f>MAX($A6*Premissas!C$12,Premissas!C$14)</f>
        <v/>
      </c>
      <c r="C6" s="17">
        <f>MAX($A6*Premissas!D$12,Premissas!D$14)</f>
        <v/>
      </c>
      <c r="D6" s="17">
        <f>MAX($A6*Premissas!E$12,Premissas!E$14)</f>
        <v/>
      </c>
      <c r="E6" s="17">
        <f>B6*12</f>
        <v/>
      </c>
      <c r="F6" s="17">
        <f>C6*12</f>
        <v/>
      </c>
      <c r="G6" s="17">
        <f>D6*12</f>
        <v/>
      </c>
      <c r="H6" s="10">
        <f>(B6-$A6*Premissas!C$15)/B6</f>
        <v/>
      </c>
      <c r="I6" s="10">
        <f>(C6-$A6*Premissas!D$15)/C6</f>
        <v/>
      </c>
      <c r="J6" s="10">
        <f>(D6-$A6*Premissas!E$15)/D6</f>
        <v/>
      </c>
    </row>
    <row r="7">
      <c r="A7" s="16" t="n">
        <v>100</v>
      </c>
      <c r="B7" s="17">
        <f>MAX($A7*Premissas!C$12,Premissas!C$14)</f>
        <v/>
      </c>
      <c r="C7" s="17">
        <f>MAX($A7*Premissas!D$12,Premissas!D$14)</f>
        <v/>
      </c>
      <c r="D7" s="17">
        <f>MAX($A7*Premissas!E$12,Premissas!E$14)</f>
        <v/>
      </c>
      <c r="E7" s="17">
        <f>B7*12</f>
        <v/>
      </c>
      <c r="F7" s="17">
        <f>C7*12</f>
        <v/>
      </c>
      <c r="G7" s="17">
        <f>D7*12</f>
        <v/>
      </c>
      <c r="H7" s="10">
        <f>(B7-$A7*Premissas!C$15)/B7</f>
        <v/>
      </c>
      <c r="I7" s="10">
        <f>(C7-$A7*Premissas!D$15)/C7</f>
        <v/>
      </c>
      <c r="J7" s="10">
        <f>(D7-$A7*Premissas!E$15)/D7</f>
        <v/>
      </c>
    </row>
    <row r="8">
      <c r="A8" s="16" t="n">
        <v>120</v>
      </c>
      <c r="B8" s="17">
        <f>MAX($A8*Premissas!C$12,Premissas!C$14)</f>
        <v/>
      </c>
      <c r="C8" s="17">
        <f>MAX($A8*Premissas!D$12,Premissas!D$14)</f>
        <v/>
      </c>
      <c r="D8" s="17">
        <f>MAX($A8*Premissas!E$12,Premissas!E$14)</f>
        <v/>
      </c>
      <c r="E8" s="17">
        <f>B8*12</f>
        <v/>
      </c>
      <c r="F8" s="17">
        <f>C8*12</f>
        <v/>
      </c>
      <c r="G8" s="17">
        <f>D8*12</f>
        <v/>
      </c>
      <c r="H8" s="10">
        <f>(B8-$A8*Premissas!C$15)/B8</f>
        <v/>
      </c>
      <c r="I8" s="10">
        <f>(C8-$A8*Premissas!D$15)/C8</f>
        <v/>
      </c>
      <c r="J8" s="10">
        <f>(D8-$A8*Premissas!E$15)/D8</f>
        <v/>
      </c>
    </row>
    <row r="9">
      <c r="A9" s="16" t="n">
        <v>200</v>
      </c>
      <c r="B9" s="17">
        <f>MAX($A9*Premissas!C$12,Premissas!C$14)</f>
        <v/>
      </c>
      <c r="C9" s="17">
        <f>MAX($A9*Premissas!D$12,Premissas!D$14)</f>
        <v/>
      </c>
      <c r="D9" s="17">
        <f>MAX($A9*Premissas!E$12,Premissas!E$14)</f>
        <v/>
      </c>
      <c r="E9" s="17">
        <f>B9*12</f>
        <v/>
      </c>
      <c r="F9" s="17">
        <f>C9*12</f>
        <v/>
      </c>
      <c r="G9" s="17">
        <f>D9*12</f>
        <v/>
      </c>
      <c r="H9" s="10">
        <f>(B9-$A9*Premissas!C$15)/B9</f>
        <v/>
      </c>
      <c r="I9" s="10">
        <f>(C9-$A9*Premissas!D$15)/C9</f>
        <v/>
      </c>
      <c r="J9" s="10">
        <f>(D9-$A9*Premissas!E$15)/D9</f>
        <v/>
      </c>
    </row>
    <row r="10">
      <c r="A10" s="16" t="n">
        <v>300</v>
      </c>
      <c r="B10" s="17">
        <f>MAX($A10*Premissas!C$12,Premissas!C$14)</f>
        <v/>
      </c>
      <c r="C10" s="17">
        <f>MAX($A10*Premissas!D$12,Premissas!D$14)</f>
        <v/>
      </c>
      <c r="D10" s="17">
        <f>MAX($A10*Premissas!E$12,Premissas!E$14)</f>
        <v/>
      </c>
      <c r="E10" s="17">
        <f>B10*12</f>
        <v/>
      </c>
      <c r="F10" s="17">
        <f>C10*12</f>
        <v/>
      </c>
      <c r="G10" s="17">
        <f>D10*12</f>
        <v/>
      </c>
      <c r="H10" s="10">
        <f>(B10-$A10*Premissas!C$15)/B10</f>
        <v/>
      </c>
      <c r="I10" s="10">
        <f>(C10-$A10*Premissas!D$15)/C10</f>
        <v/>
      </c>
      <c r="J10" s="10">
        <f>(D10-$A10*Premissas!E$15)/D10</f>
        <v/>
      </c>
    </row>
    <row r="11">
      <c r="A11" s="16" t="n">
        <v>500</v>
      </c>
      <c r="B11" s="17">
        <f>MAX($A11*Premissas!C$12,Premissas!C$14)</f>
        <v/>
      </c>
      <c r="C11" s="17">
        <f>MAX($A11*Premissas!D$12,Premissas!D$14)</f>
        <v/>
      </c>
      <c r="D11" s="17">
        <f>MAX($A11*Premissas!E$12,Premissas!E$14)</f>
        <v/>
      </c>
      <c r="E11" s="17">
        <f>B11*12</f>
        <v/>
      </c>
      <c r="F11" s="17">
        <f>C11*12</f>
        <v/>
      </c>
      <c r="G11" s="17">
        <f>D11*12</f>
        <v/>
      </c>
      <c r="H11" s="10">
        <f>(B11-$A11*Premissas!C$15)/B11</f>
        <v/>
      </c>
      <c r="I11" s="10">
        <f>(C11-$A11*Premissas!D$15)/C11</f>
        <v/>
      </c>
      <c r="J11" s="10">
        <f>(D11-$A11*Premissas!E$15)/D11</f>
        <v/>
      </c>
    </row>
    <row r="13">
      <c r="A13" s="2" t="inlineStr">
        <is>
          <t>Margem considera só o custo variável por aluno das Premissas, sem equipe, impostos ou suporte.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16" customWidth="1" min="3" max="3"/>
  </cols>
  <sheetData>
    <row r="1">
      <c r="A1" s="1" t="inlineStr">
        <is>
          <t>Escola sob medida (módulos avulsos)</t>
        </is>
      </c>
    </row>
    <row r="2">
      <c r="A2" s="2" t="inlineStr">
        <is>
          <t>Preencha o que está em amarelo. Use 1 para contratar e 0 para não contratar. Exemplo já preenchido.</t>
        </is>
      </c>
    </row>
    <row r="4">
      <c r="A4" s="15" t="inlineStr">
        <is>
          <t>Alunos ativos</t>
        </is>
      </c>
      <c r="B4" s="18" t="n">
        <v>120</v>
      </c>
    </row>
    <row r="6">
      <c r="A6" s="3" t="inlineStr">
        <is>
          <t>Item</t>
        </is>
      </c>
      <c r="B6" s="3" t="inlineStr">
        <is>
          <t>Contratar (1 ou 0)</t>
        </is>
      </c>
      <c r="C6" s="3" t="inlineStr">
        <is>
          <t>R$ por aluno</t>
        </is>
      </c>
    </row>
    <row r="7">
      <c r="A7" s="4" t="inlineStr">
        <is>
          <t>Plano base</t>
        </is>
      </c>
      <c r="B7" s="19" t="n">
        <v>1</v>
      </c>
      <c r="C7" s="20">
        <f>Premissas!B4</f>
        <v/>
      </c>
    </row>
    <row r="8">
      <c r="A8" s="4" t="inlineStr">
        <is>
          <t>Pedagógico</t>
        </is>
      </c>
      <c r="B8" s="19" t="n">
        <v>1</v>
      </c>
      <c r="C8" s="20">
        <f>Premissas!B5</f>
        <v/>
      </c>
    </row>
    <row r="9">
      <c r="A9" s="4" t="inlineStr">
        <is>
          <t>Rotina e família</t>
        </is>
      </c>
      <c r="B9" s="19" t="n">
        <v>0</v>
      </c>
      <c r="C9" s="20">
        <f>Premissas!B6</f>
        <v/>
      </c>
    </row>
    <row r="10">
      <c r="A10" s="4" t="inlineStr">
        <is>
          <t>Chat</t>
        </is>
      </c>
      <c r="B10" s="19" t="n">
        <v>1</v>
      </c>
      <c r="C10" s="20">
        <f>Premissas!B7</f>
        <v/>
      </c>
    </row>
    <row r="11">
      <c r="A11" s="4" t="inlineStr">
        <is>
          <t>Prova de vida</t>
        </is>
      </c>
      <c r="B11" s="19" t="n">
        <v>0</v>
      </c>
      <c r="C11" s="20">
        <f>Premissas!B8</f>
        <v/>
      </c>
    </row>
    <row r="12">
      <c r="A12" s="4" t="inlineStr">
        <is>
          <t>Entrada por QR Code</t>
        </is>
      </c>
      <c r="B12" s="19" t="n">
        <v>1</v>
      </c>
      <c r="C12" s="20">
        <f>Premissas!B9</f>
        <v/>
      </c>
    </row>
    <row r="14">
      <c r="A14" s="15" t="inlineStr">
        <is>
          <t>Valor por aluno/mês</t>
        </is>
      </c>
      <c r="B14" s="21">
        <f>SUMPRODUCT(B7:B12,C7:C12)</f>
        <v/>
      </c>
    </row>
    <row r="15">
      <c r="A15" s="15" t="inlineStr">
        <is>
          <t>Mensalidade avulsa</t>
        </is>
      </c>
      <c r="B15" s="22">
        <f>MAX(B4*B14,Premissas!C14)</f>
        <v/>
      </c>
    </row>
    <row r="16">
      <c r="A16" s="15" t="inlineStr">
        <is>
          <t>Dica</t>
        </is>
      </c>
      <c r="B16" s="12">
        <f>IF(B15&gt;=B18,"Avulso passou do Completo: vale oferecer o pacote","Avulso está abaixo do Completo")</f>
        <v/>
      </c>
    </row>
    <row r="17">
      <c r="A17" s="15" t="inlineStr">
        <is>
          <t>Mensalidade Premium (referência)</t>
        </is>
      </c>
      <c r="B17" s="22">
        <f>MAX(B4*Premissas!E12,Premissas!E14)</f>
        <v/>
      </c>
    </row>
    <row r="18">
      <c r="A18" s="15" t="inlineStr">
        <is>
          <t>Mensalidade Completo (referência)</t>
        </is>
      </c>
      <c r="B18" s="22">
        <f>MAX(B4*Premissas!D12,Premissas!D14)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2026-10-05T19:26:12Z</dcterms:created>
  <dcterms:modified xmlns:dcterms="http://purl.org/dc/terms/" xmlns:xsi="http://www.w3.org/2001/XMLSchema-instance" xsi:type="dcterms:W3CDTF">2026-10-15T18:29:28Z</dcterms:modified>
</cp:coreProperties>
</file>